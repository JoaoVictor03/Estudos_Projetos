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oaoV\Desktop\Projetos\CRM_Clientes\"/>
    </mc:Choice>
  </mc:AlternateContent>
  <xr:revisionPtr revIDLastSave="0" documentId="13_ncr:1_{1FED4A39-CF2D-4779-B06F-14290E4B6AF7}" xr6:coauthVersionLast="47" xr6:coauthVersionMax="47" xr10:uidLastSave="{00000000-0000-0000-0000-000000000000}"/>
  <bookViews>
    <workbookView minimized="1" xWindow="1815" yWindow="1815" windowWidth="18075" windowHeight="9075" activeTab="3" xr2:uid="{D9A924F5-A428-499C-BA8D-CFCFD3E10DB9}"/>
  </bookViews>
  <sheets>
    <sheet name="Início" sheetId="7" r:id="rId1"/>
    <sheet name="Clientes" sheetId="1" r:id="rId2"/>
    <sheet name="Historico" sheetId="8" r:id="rId3"/>
    <sheet name="Empreendimentos" sheetId="2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1" i="1"/>
</calcChain>
</file>

<file path=xl/sharedStrings.xml><?xml version="1.0" encoding="utf-8"?>
<sst xmlns="http://schemas.openxmlformats.org/spreadsheetml/2006/main" count="38" uniqueCount="27">
  <si>
    <t>ID</t>
  </si>
  <si>
    <t>Nome</t>
  </si>
  <si>
    <t>Idade</t>
  </si>
  <si>
    <t>Telefone</t>
  </si>
  <si>
    <t>Email</t>
  </si>
  <si>
    <t>Tem imóvel?</t>
  </si>
  <si>
    <t>João</t>
  </si>
  <si>
    <t>Maria</t>
  </si>
  <si>
    <t>Fernando</t>
  </si>
  <si>
    <t>Id</t>
  </si>
  <si>
    <t>Construtora</t>
  </si>
  <si>
    <t>Valor</t>
  </si>
  <si>
    <t>Quartos</t>
  </si>
  <si>
    <t>ShowZonasul</t>
  </si>
  <si>
    <t>Econ</t>
  </si>
  <si>
    <t>Sim</t>
  </si>
  <si>
    <t>Não</t>
  </si>
  <si>
    <t>Date</t>
  </si>
  <si>
    <t>Comentario</t>
  </si>
  <si>
    <t>Liguei e enviei email</t>
  </si>
  <si>
    <t>Liguei e enviei whatsapp</t>
  </si>
  <si>
    <t>Marquei visita no próximo fim de semana</t>
  </si>
  <si>
    <t>Rótulos de Linha</t>
  </si>
  <si>
    <t>Total Geral</t>
  </si>
  <si>
    <t>Contagem de ID</t>
  </si>
  <si>
    <t>6</t>
  </si>
  <si>
    <t>Ligui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</si>
</sst>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0" fontId="0" fillId="2" borderId="1" xfId="0" applyFill="1" applyBorder="1"/>
    <xf numFmtId="14" fontId="0" fillId="2" borderId="1" xfId="0" applyNumberFormat="1" applyFill="1" applyBorder="1"/>
    <xf numFmtId="0" fontId="2" fillId="2" borderId="0" xfId="0" applyFont="1" applyFill="1"/>
    <xf numFmtId="49" fontId="0" fillId="2" borderId="1" xfId="0" applyNumberFormat="1" applyFill="1" applyBorder="1"/>
    <xf numFmtId="0" fontId="0" fillId="0" borderId="0" xfId="0" pivotButton="1"/>
    <xf numFmtId="14" fontId="0" fillId="0" borderId="0" xfId="0" applyNumberFormat="1" applyAlignment="1">
      <alignment horizontal="left"/>
    </xf>
  </cellXfs>
  <cellStyles count="2">
    <cellStyle name="Normal" xfId="0" builtinId="0"/>
    <cellStyle name="Vírgula" xfId="1" builtinId="3"/>
  </cellStyles>
  <dxfs count="7">
    <dxf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30" formatCode="@"/>
    </dxf>
  </dxfs>
  <tableStyles count="1" defaultTableStyle="TableStyleMedium2" defaultPivotStyle="PivotStyleLight16">
    <tableStyle name="Invisible" pivot="0" table="0" count="0" xr9:uid="{8B388BD6-3C7A-45AB-BCB8-4F7D6EB9979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900"/>
              <a:t>Clientes</a:t>
            </a:r>
            <a:r>
              <a:rPr lang="pt-BR" sz="900" baseline="0"/>
              <a:t> com imóvel</a:t>
            </a:r>
            <a:endParaRPr lang="pt-BR" sz="9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3B-4FF7-BB49-FF014A124E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3B-4FF7-BB49-FF014A124EA0}"/>
              </c:ext>
            </c:extLst>
          </c:dPt>
          <c:val>
            <c:numRef>
              <c:f>Clientes!$I$1:$I$2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A-4141-A699-56D003A43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[Crm.xlsm]Historico!Tabela dinâmica11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Historico!$L$1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Historico!$K$2:$K$4</c:f>
              <c:strCache>
                <c:ptCount val="2"/>
                <c:pt idx="0">
                  <c:v>28/01/2026</c:v>
                </c:pt>
                <c:pt idx="1">
                  <c:v>29/01/2026</c:v>
                </c:pt>
              </c:strCache>
            </c:strRef>
          </c:cat>
          <c:val>
            <c:numRef>
              <c:f>Historico!$L$2:$L$4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6-4366-823A-CE2CD3F0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8393343"/>
        <c:axId val="888394303"/>
      </c:lineChart>
      <c:catAx>
        <c:axId val="888393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394303"/>
        <c:crosses val="autoZero"/>
        <c:auto val="1"/>
        <c:lblAlgn val="ctr"/>
        <c:lblOffset val="100"/>
        <c:noMultiLvlLbl val="0"/>
      </c:catAx>
      <c:valAx>
        <c:axId val="88839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8393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050">
                <a:solidFill>
                  <a:schemeClr val="tx1"/>
                </a:solidFill>
              </a:rPr>
              <a:t>Quartos</a:t>
            </a:r>
            <a:r>
              <a:rPr lang="pt-BR" sz="1050" baseline="0">
                <a:solidFill>
                  <a:schemeClr val="tx1"/>
                </a:solidFill>
              </a:rPr>
              <a:t> em imóveis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Empreendimentos!$D$1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Empreendimentos!$A$2:$C$6</c:f>
              <c:multiLvlStrCache>
                <c:ptCount val="5"/>
                <c:lvl>
                  <c:pt idx="0">
                    <c:v>Econ</c:v>
                  </c:pt>
                  <c:pt idx="1">
                    <c:v>Econ</c:v>
                  </c:pt>
                  <c:pt idx="2">
                    <c:v>Econ</c:v>
                  </c:pt>
                  <c:pt idx="3">
                    <c:v>Econ</c:v>
                  </c:pt>
                  <c:pt idx="4">
                    <c:v>Econ</c:v>
                  </c:pt>
                </c:lvl>
                <c:lvl>
                  <c:pt idx="0">
                    <c:v>ShowZonasul</c:v>
                  </c:pt>
                  <c:pt idx="1">
                    <c:v>ShowZonasul</c:v>
                  </c:pt>
                  <c:pt idx="2">
                    <c:v>ShowZonasul</c:v>
                  </c:pt>
                  <c:pt idx="3">
                    <c:v>ShowZonasul</c:v>
                  </c:pt>
                  <c:pt idx="4">
                    <c:v>ShowZonasul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</c:multiLvlStrCache>
            </c:multiLvlStrRef>
          </c:cat>
          <c:val>
            <c:numRef>
              <c:f>Empreendimentos!$D$2:$D$6</c:f>
              <c:numCache>
                <c:formatCode>_-* #,##0_-;\-* #,##0_-;_-* "-"??_-;_-@_-</c:formatCode>
                <c:ptCount val="5"/>
                <c:pt idx="0">
                  <c:v>240000</c:v>
                </c:pt>
                <c:pt idx="1">
                  <c:v>180000</c:v>
                </c:pt>
                <c:pt idx="2">
                  <c:v>190000</c:v>
                </c:pt>
                <c:pt idx="3">
                  <c:v>540000</c:v>
                </c:pt>
                <c:pt idx="4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77-4A14-AAFC-1391D45857F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512635647"/>
        <c:axId val="512645247"/>
      </c:barChart>
      <c:catAx>
        <c:axId val="51263564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12645247"/>
        <c:crosses val="autoZero"/>
        <c:auto val="1"/>
        <c:lblAlgn val="ctr"/>
        <c:lblOffset val="100"/>
        <c:noMultiLvlLbl val="0"/>
      </c:catAx>
      <c:valAx>
        <c:axId val="512645247"/>
        <c:scaling>
          <c:orientation val="minMax"/>
        </c:scaling>
        <c:delete val="1"/>
        <c:axPos val="b"/>
        <c:numFmt formatCode="_-* #,##0_-;\-* #,##0_-;_-* &quot;-&quot;??_-;_-@_-" sourceLinked="1"/>
        <c:majorTickMark val="none"/>
        <c:minorTickMark val="none"/>
        <c:tickLblPos val="nextTo"/>
        <c:crossAx val="512635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142875</xdr:rowOff>
    </xdr:from>
    <xdr:to>
      <xdr:col>2</xdr:col>
      <xdr:colOff>502919</xdr:colOff>
      <xdr:row>2</xdr:row>
      <xdr:rowOff>85725</xdr:rowOff>
    </xdr:to>
    <xdr:sp macro="[0]!RetânguloCantosArredondados6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C707F9-28F9-4F8B-81C2-836E03206ABD}"/>
            </a:ext>
          </a:extLst>
        </xdr:cNvPr>
        <xdr:cNvSpPr/>
      </xdr:nvSpPr>
      <xdr:spPr>
        <a:xfrm>
          <a:off x="95250" y="142875"/>
          <a:ext cx="1626869" cy="323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Abrir</a:t>
          </a:r>
          <a:r>
            <a:rPr lang="pt-BR" sz="1100" baseline="0"/>
            <a:t> CRM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590550</xdr:colOff>
      <xdr:row>0</xdr:row>
      <xdr:rowOff>0</xdr:rowOff>
    </xdr:from>
    <xdr:to>
      <xdr:col>16</xdr:col>
      <xdr:colOff>57150</xdr:colOff>
      <xdr:row>5</xdr:row>
      <xdr:rowOff>38100</xdr:rowOff>
    </xdr:to>
    <xdr:graphicFrame macro="">
      <xdr:nvGraphicFramePr>
        <xdr:cNvPr id="2" name="grafico">
          <a:extLst>
            <a:ext uri="{FF2B5EF4-FFF2-40B4-BE49-F238E27FC236}">
              <a16:creationId xmlns:a16="http://schemas.microsoft.com/office/drawing/2014/main" id="{35F6E384-B06E-772D-515B-19B8EE429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219075</xdr:colOff>
      <xdr:row>1048558</xdr:row>
      <xdr:rowOff>180365</xdr:rowOff>
    </xdr:from>
    <xdr:to>
      <xdr:col>2</xdr:col>
      <xdr:colOff>476250</xdr:colOff>
      <xdr:row>1048565</xdr:row>
      <xdr:rowOff>8915</xdr:rowOff>
    </xdr:to>
    <xdr:pic>
      <xdr:nvPicPr>
        <xdr:cNvPr id="4" name="icone">
          <a:extLst>
            <a:ext uri="{FF2B5EF4-FFF2-40B4-BE49-F238E27FC236}">
              <a16:creationId xmlns:a16="http://schemas.microsoft.com/office/drawing/2014/main" id="{F284DA70-BA6A-CD0F-B18A-4C65A0686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99752003365"/>
          <a:ext cx="1162050" cy="1162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1</xdr:row>
      <xdr:rowOff>0</xdr:rowOff>
    </xdr:from>
    <xdr:to>
      <xdr:col>17</xdr:col>
      <xdr:colOff>19050</xdr:colOff>
      <xdr:row>22</xdr:row>
      <xdr:rowOff>0</xdr:rowOff>
    </xdr:to>
    <xdr:graphicFrame macro="">
      <xdr:nvGraphicFramePr>
        <xdr:cNvPr id="5" name="linha_historico">
          <a:extLst>
            <a:ext uri="{FF2B5EF4-FFF2-40B4-BE49-F238E27FC236}">
              <a16:creationId xmlns:a16="http://schemas.microsoft.com/office/drawing/2014/main" id="{D687F410-9B2B-1A1B-D3CF-2407BE244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2</xdr:row>
      <xdr:rowOff>66675</xdr:rowOff>
    </xdr:from>
    <xdr:to>
      <xdr:col>18</xdr:col>
      <xdr:colOff>123825</xdr:colOff>
      <xdr:row>12</xdr:row>
      <xdr:rowOff>66675</xdr:rowOff>
    </xdr:to>
    <xdr:graphicFrame macro="">
      <xdr:nvGraphicFramePr>
        <xdr:cNvPr id="2" name="grafico2">
          <a:extLst>
            <a:ext uri="{FF2B5EF4-FFF2-40B4-BE49-F238E27FC236}">
              <a16:creationId xmlns:a16="http://schemas.microsoft.com/office/drawing/2014/main" id="{5D53BCD3-64D6-140E-DEBA-C5CBDBA692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ctor Ferreira Alves" refreshedDate="46050.733237037035" createdVersion="8" refreshedVersion="8" minRefreshableVersion="3" recordCount="5" xr:uid="{72445F8C-459C-4F6E-A7B9-2945AD1EEE15}">
  <cacheSource type="worksheet">
    <worksheetSource name="tFollowUp"/>
  </cacheSource>
  <cacheFields count="3">
    <cacheField name="ID" numFmtId="49">
      <sharedItems containsMixedTypes="1" containsNumber="1" containsInteger="1" minValue="2" maxValue="10"/>
    </cacheField>
    <cacheField name="Date" numFmtId="14">
      <sharedItems containsSemiMixedTypes="0" containsNonDate="0" containsDate="1" containsString="0" minDate="2026-01-28T00:00:00" maxDate="2026-01-30T00:00:00" count="2">
        <d v="2026-01-28T00:00:00"/>
        <d v="2026-01-29T00:00:00"/>
      </sharedItems>
    </cacheField>
    <cacheField name="Comentario" numFmtId="0">
      <sharedItems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6"/>
    <x v="0"/>
    <n v="1"/>
  </r>
  <r>
    <n v="10"/>
    <x v="0"/>
    <s v="Liguei e enviei email"/>
  </r>
  <r>
    <n v="3"/>
    <x v="0"/>
    <s v="Liguei e enviei whatsapp"/>
  </r>
  <r>
    <n v="2"/>
    <x v="0"/>
    <s v="Marquei visita no próximo fim de semana"/>
  </r>
  <r>
    <s v="6"/>
    <x v="1"/>
    <s v="Ligu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EFFE99-C1E0-4610-AD0B-530A82A3FD9F}" name="Tabela dinâmica1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">
  <location ref="K1:L4" firstHeaderRow="1" firstDataRow="1" firstDataCol="1"/>
  <pivotFields count="3">
    <pivotField dataField="1" showAll="0"/>
    <pivotField axis="axisRow" numFmtId="14" showAll="0">
      <items count="3">
        <item x="0"/>
        <item x="1"/>
        <item t="default"/>
      </items>
    </pivotField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Contagem de ID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8BDD64-0BDB-4667-8A84-8B6F318EF67F}" name="tClientes" displayName="tClientes" ref="A1:F4" totalsRowShown="0">
  <autoFilter ref="A1:F4" xr:uid="{788BDD64-0BDB-4667-8A84-8B6F318EF67F}"/>
  <tableColumns count="6">
    <tableColumn id="1" xr3:uid="{019192E6-DD7F-4FFE-AAB7-9909877E52CA}" name="ID"/>
    <tableColumn id="6" xr3:uid="{A5D0AAF0-7C7B-4D99-A3DF-2284E64EFF4B}" name="Nome"/>
    <tableColumn id="2" xr3:uid="{21C4B245-DC79-47F8-84F0-1114522CCDB1}" name="Idade"/>
    <tableColumn id="4" xr3:uid="{251EC8E4-57E4-4C51-8F87-642E2D1233E7}" name="Email"/>
    <tableColumn id="3" xr3:uid="{1E4CE830-3B10-48DD-B28E-074C7F6659D3}" name="Telefone"/>
    <tableColumn id="5" xr3:uid="{FDEDFAD5-5B7D-4FB8-A3E7-4D169346A03F}" name="Tem imóvel?" dataDxfId="6">
      <calculatedColumnFormula>TRUE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CFD729-ADF6-4E26-9390-75D58D2BED76}" name="tFollowUp" displayName="tFollowUp" ref="A1:C6" totalsRowShown="0" headerRowDxfId="5" tableBorderDxfId="4">
  <autoFilter ref="A1:C6" xr:uid="{80CFD729-ADF6-4E26-9390-75D58D2BED76}"/>
  <sortState xmlns:xlrd2="http://schemas.microsoft.com/office/spreadsheetml/2017/richdata2" ref="A2:C4">
    <sortCondition descending="1" ref="B1:B4"/>
  </sortState>
  <tableColumns count="3">
    <tableColumn id="1" xr3:uid="{DED8ED23-9303-40A7-8BBC-9B287371825C}" name="ID" dataDxfId="3"/>
    <tableColumn id="2" xr3:uid="{25633542-B390-4330-AF74-13F99C235F54}" name="Date" dataDxfId="2"/>
    <tableColumn id="3" xr3:uid="{081BA15C-B20D-4765-AC43-984AADD453BE}" name="Comentario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E90E1E-09CF-4047-BF6C-51AD33056848}" name="tEmpreendimentos" displayName="tEmpreendimentos" ref="A1:E6" totalsRowShown="0">
  <autoFilter ref="A1:E6" xr:uid="{A2E90E1E-09CF-4047-BF6C-51AD33056848}"/>
  <tableColumns count="5">
    <tableColumn id="1" xr3:uid="{E018E999-EB51-44F7-A9FE-0263AA8BD6EB}" name="Id"/>
    <tableColumn id="2" xr3:uid="{9DC8F852-5AA6-4F14-BFCF-6C0EC79D3F1D}" name="Nome"/>
    <tableColumn id="3" xr3:uid="{7DC616B9-DE6E-47CB-AB5E-E17DB71DB08E}" name="Construtora"/>
    <tableColumn id="4" xr3:uid="{9B29126A-9C69-4958-BB12-EB870412ACE0}" name="Valor" dataDxfId="0" dataCellStyle="Vírgula"/>
    <tableColumn id="5" xr3:uid="{1612A8EB-66C0-48AC-BF0C-EA570120CD7C}" name="Quar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F124D-AD02-40A1-BFED-09E42A677399}">
  <sheetPr codeName="Planilha3"/>
  <dimension ref="A1"/>
  <sheetViews>
    <sheetView showGridLines="0" zoomScale="235" zoomScaleNormal="235" workbookViewId="0">
      <selection activeCell="B8" sqref="B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A5E3D-BD20-4E4C-865A-EA6967111566}">
  <sheetPr codeName="Planilha1"/>
  <dimension ref="A1:I4"/>
  <sheetViews>
    <sheetView workbookViewId="0">
      <selection activeCell="C18" sqref="C18"/>
    </sheetView>
  </sheetViews>
  <sheetFormatPr defaultRowHeight="15" x14ac:dyDescent="0.25"/>
  <cols>
    <col min="1" max="1" width="5.28515625" bestFit="1" customWidth="1"/>
    <col min="2" max="2" width="8.28515625" bestFit="1" customWidth="1"/>
    <col min="3" max="3" width="12" bestFit="1" customWidth="1"/>
    <col min="4" max="4" width="26" bestFit="1" customWidth="1"/>
    <col min="5" max="5" width="14.7109375" bestFit="1" customWidth="1"/>
    <col min="6" max="6" width="23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5</v>
      </c>
      <c r="I1">
        <f>COUNTIF(tClientes[Tem imóvel?],"Sim")</f>
        <v>1</v>
      </c>
    </row>
    <row r="2" spans="1:9" x14ac:dyDescent="0.25">
      <c r="A2">
        <v>1</v>
      </c>
      <c r="B2" t="s">
        <v>6</v>
      </c>
      <c r="C2">
        <v>23</v>
      </c>
      <c r="D2">
        <v>123</v>
      </c>
      <c r="E2">
        <v>123</v>
      </c>
      <c r="F2" s="1" t="s">
        <v>15</v>
      </c>
      <c r="I2">
        <f>COUNTIF(tClientes[Tem imóvel?],"Não")</f>
        <v>2</v>
      </c>
    </row>
    <row r="3" spans="1:9" x14ac:dyDescent="0.25">
      <c r="A3">
        <v>2</v>
      </c>
      <c r="B3" t="s">
        <v>7</v>
      </c>
      <c r="C3">
        <v>87</v>
      </c>
      <c r="D3">
        <v>123</v>
      </c>
      <c r="E3">
        <v>123</v>
      </c>
      <c r="F3" s="1" t="s">
        <v>16</v>
      </c>
    </row>
    <row r="4" spans="1:9" x14ac:dyDescent="0.25">
      <c r="A4">
        <v>3</v>
      </c>
      <c r="B4" t="s">
        <v>8</v>
      </c>
      <c r="C4">
        <v>25</v>
      </c>
      <c r="D4">
        <v>1123</v>
      </c>
      <c r="E4">
        <v>123</v>
      </c>
      <c r="F4" s="1" t="s">
        <v>16</v>
      </c>
    </row>
  </sheetData>
  <pageMargins left="0.511811024" right="0.511811024" top="0.78740157499999996" bottom="0.78740157499999996" header="0.31496062000000002" footer="0.31496062000000002"/>
  <ignoredErrors>
    <ignoredError sqref="F2:F4" calculatedColumn="1"/>
  </ignoredErrors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30C7C-0442-434C-AF96-C4B2F2B872FF}">
  <sheetPr codeName="Planilha4"/>
  <dimension ref="A1:L6"/>
  <sheetViews>
    <sheetView workbookViewId="0">
      <selection activeCell="F6" sqref="F6"/>
    </sheetView>
  </sheetViews>
  <sheetFormatPr defaultRowHeight="15" x14ac:dyDescent="0.25"/>
  <cols>
    <col min="1" max="2" width="10.5703125" customWidth="1"/>
    <col min="3" max="3" width="38.28515625" bestFit="1" customWidth="1"/>
    <col min="11" max="11" width="18.42578125" bestFit="1" customWidth="1"/>
    <col min="12" max="12" width="15.5703125" bestFit="1" customWidth="1"/>
  </cols>
  <sheetData>
    <row r="1" spans="1:12" x14ac:dyDescent="0.25">
      <c r="A1" s="5" t="s">
        <v>0</v>
      </c>
      <c r="B1" s="5" t="s">
        <v>17</v>
      </c>
      <c r="C1" s="5" t="s">
        <v>18</v>
      </c>
      <c r="K1" s="7" t="s">
        <v>22</v>
      </c>
      <c r="L1" t="s">
        <v>24</v>
      </c>
    </row>
    <row r="2" spans="1:12" x14ac:dyDescent="0.25">
      <c r="A2" s="6">
        <v>6</v>
      </c>
      <c r="B2" s="4">
        <v>46050</v>
      </c>
      <c r="C2" s="3">
        <v>1</v>
      </c>
      <c r="K2" s="8">
        <v>46050</v>
      </c>
      <c r="L2">
        <v>4</v>
      </c>
    </row>
    <row r="3" spans="1:12" x14ac:dyDescent="0.25">
      <c r="A3" s="6">
        <v>10</v>
      </c>
      <c r="B3" s="4">
        <v>46050</v>
      </c>
      <c r="C3" s="3" t="s">
        <v>19</v>
      </c>
      <c r="K3" s="8">
        <v>46051</v>
      </c>
      <c r="L3">
        <v>1</v>
      </c>
    </row>
    <row r="4" spans="1:12" x14ac:dyDescent="0.25">
      <c r="A4" s="6">
        <v>3</v>
      </c>
      <c r="B4" s="4">
        <v>46050</v>
      </c>
      <c r="C4" s="3" t="s">
        <v>20</v>
      </c>
      <c r="K4" s="8" t="s">
        <v>23</v>
      </c>
      <c r="L4">
        <v>5</v>
      </c>
    </row>
    <row r="5" spans="1:12" x14ac:dyDescent="0.25">
      <c r="A5" s="6">
        <v>2</v>
      </c>
      <c r="B5" s="4">
        <v>46050</v>
      </c>
      <c r="C5" s="3" t="s">
        <v>21</v>
      </c>
    </row>
    <row r="6" spans="1:12" x14ac:dyDescent="0.25">
      <c r="A6" s="6" t="s">
        <v>25</v>
      </c>
      <c r="B6" s="4">
        <v>46051</v>
      </c>
      <c r="C6" s="3" t="s">
        <v>26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F8CF7-CD5F-4DF1-92FE-A9ACFA989849}">
  <sheetPr codeName="Planilha2"/>
  <dimension ref="A1:E6"/>
  <sheetViews>
    <sheetView tabSelected="1" topLeftCell="A4" workbookViewId="0">
      <selection activeCell="C6" sqref="C6"/>
    </sheetView>
  </sheetViews>
  <sheetFormatPr defaultRowHeight="15" x14ac:dyDescent="0.25"/>
  <cols>
    <col min="3" max="3" width="14" customWidth="1"/>
    <col min="4" max="4" width="11.5703125" bestFit="1" customWidth="1"/>
    <col min="5" max="5" width="10.28515625" customWidth="1"/>
  </cols>
  <sheetData>
    <row r="1" spans="1:5" x14ac:dyDescent="0.25">
      <c r="A1" t="s">
        <v>9</v>
      </c>
      <c r="B1" t="s">
        <v>1</v>
      </c>
      <c r="C1" t="s">
        <v>10</v>
      </c>
      <c r="D1" t="s">
        <v>11</v>
      </c>
      <c r="E1" t="s">
        <v>12</v>
      </c>
    </row>
    <row r="2" spans="1:5" x14ac:dyDescent="0.25">
      <c r="A2">
        <v>1</v>
      </c>
      <c r="B2" t="s">
        <v>13</v>
      </c>
      <c r="C2" t="s">
        <v>14</v>
      </c>
      <c r="D2" s="2">
        <v>240000</v>
      </c>
      <c r="E2">
        <v>2</v>
      </c>
    </row>
    <row r="3" spans="1:5" x14ac:dyDescent="0.25">
      <c r="A3">
        <v>2</v>
      </c>
      <c r="B3" t="s">
        <v>13</v>
      </c>
      <c r="C3" t="s">
        <v>14</v>
      </c>
      <c r="D3" s="2">
        <v>180000</v>
      </c>
      <c r="E3">
        <v>1</v>
      </c>
    </row>
    <row r="4" spans="1:5" x14ac:dyDescent="0.25">
      <c r="A4">
        <v>3</v>
      </c>
      <c r="B4" t="s">
        <v>13</v>
      </c>
      <c r="C4" t="s">
        <v>14</v>
      </c>
      <c r="D4" s="2">
        <v>190000</v>
      </c>
      <c r="E4">
        <v>2</v>
      </c>
    </row>
    <row r="5" spans="1:5" x14ac:dyDescent="0.25">
      <c r="A5">
        <v>4</v>
      </c>
      <c r="B5" t="s">
        <v>13</v>
      </c>
      <c r="C5" t="s">
        <v>14</v>
      </c>
      <c r="D5" s="2">
        <v>540000</v>
      </c>
      <c r="E5">
        <v>3</v>
      </c>
    </row>
    <row r="6" spans="1:5" x14ac:dyDescent="0.25">
      <c r="A6">
        <v>5</v>
      </c>
      <c r="B6" t="s">
        <v>13</v>
      </c>
      <c r="C6" t="s">
        <v>14</v>
      </c>
      <c r="D6" s="2">
        <v>350000</v>
      </c>
      <c r="E6">
        <v>4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Início</vt:lpstr>
      <vt:lpstr>Clientes</vt:lpstr>
      <vt:lpstr>Historico</vt:lpstr>
      <vt:lpstr>Empreendimentos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Victor Ferreira Alves</dc:creator>
  <cp:lastModifiedBy>João Victor Ferreira Alves</cp:lastModifiedBy>
  <dcterms:created xsi:type="dcterms:W3CDTF">2026-01-28T17:17:15Z</dcterms:created>
  <dcterms:modified xsi:type="dcterms:W3CDTF">2026-01-29T03:54:26Z</dcterms:modified>
</cp:coreProperties>
</file>